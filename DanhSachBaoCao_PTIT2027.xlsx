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SachBaoCao" sheetId="1" state="visible" r:id="rId3"/>
    <sheet name="DanhMucPhong" sheetId="2" state="visible" r:id="rId4"/>
  </sheets>
  <definedNames>
    <definedName function="false" hidden="true" localSheetId="0" name="_xlnm._FilterDatabase" vbProcedure="false">DanhSachBaoCao!$A$1:$G$31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<sst xmlns="http://schemas.openxmlformats.org/spreadsheetml/2006/main" count="223" uniqueCount="116">
  <si>
    <t xml:space="preserve">Mã TG</t>
  </si>
  <si>
    <t xml:space="preserve">Tên</t>
  </si>
  <si>
    <t xml:space="preserve">Khoa</t>
  </si>
  <si>
    <t xml:space="preserve">Tên báo cáo</t>
  </si>
  <si>
    <t xml:space="preserve">Phòng</t>
  </si>
  <si>
    <t xml:space="preserve">Thù lao</t>
  </si>
  <si>
    <t xml:space="preserve">Loại TG</t>
  </si>
  <si>
    <t xml:space="preserve">TG001</t>
  </si>
  <si>
    <t xml:space="preserve">Nguyễn Minh Anh</t>
  </si>
  <si>
    <t xml:space="preserve">CNTT</t>
  </si>
  <si>
    <t xml:space="preserve">Ứng dụng học máy dự đoán nguy cơ bỏ học của sinh viên</t>
  </si>
  <si>
    <t xml:space="preserve">Nội bộ</t>
  </si>
  <si>
    <t xml:space="preserve">TG002</t>
  </si>
  <si>
    <t xml:space="preserve">Trần Quốc Bảo</t>
  </si>
  <si>
    <t xml:space="preserve">Hệ thống gợi ý tài liệu học tập dựa trên đồ thị tri thức</t>
  </si>
  <si>
    <t xml:space="preserve">TG003</t>
  </si>
  <si>
    <t xml:space="preserve">Lê Thị Cẩm</t>
  </si>
  <si>
    <t xml:space="preserve">Tối ưu truy vấn cơ sở dữ liệu lớn cho thư viện số</t>
  </si>
  <si>
    <t xml:space="preserve">TG004</t>
  </si>
  <si>
    <t xml:space="preserve">Phạm Đức Dũng</t>
  </si>
  <si>
    <t xml:space="preserve">Chatbot hỗ trợ tư vấn tuyển sinh bằng mô hình ngôn ngữ</t>
  </si>
  <si>
    <t xml:space="preserve">TG005</t>
  </si>
  <si>
    <t xml:space="preserve">Hoàng Thu Hà</t>
  </si>
  <si>
    <t xml:space="preserve">Phát hiện tin giả tiếng Việt bằng học sâu</t>
  </si>
  <si>
    <t xml:space="preserve">TG006</t>
  </si>
  <si>
    <t xml:space="preserve">Vũ Hải Long</t>
  </si>
  <si>
    <t xml:space="preserve">Kiến trúc microservices cho hệ thống quản lý ký túc xá</t>
  </si>
  <si>
    <t xml:space="preserve">TG007</t>
  </si>
  <si>
    <t xml:space="preserve">Đặng Ngọc Mai</t>
  </si>
  <si>
    <t xml:space="preserve">Nhận dạng chữ viết tay tiếng Việt trên thiết bị di động</t>
  </si>
  <si>
    <t xml:space="preserve">TG008</t>
  </si>
  <si>
    <t xml:space="preserve">Bùi Anh Tuấn</t>
  </si>
  <si>
    <t xml:space="preserve">Tự động hóa kiểm thử giao diện web bằng AI</t>
  </si>
  <si>
    <t xml:space="preserve">TG009</t>
  </si>
  <si>
    <t xml:space="preserve">Nguyễn Hữu Phúc</t>
  </si>
  <si>
    <t xml:space="preserve">ATTT</t>
  </si>
  <si>
    <t xml:space="preserve">Phát hiện xâm nhập mạng bằng học máy không giám sát</t>
  </si>
  <si>
    <t xml:space="preserve">TG010</t>
  </si>
  <si>
    <t xml:space="preserve">Trần Thanh Hương</t>
  </si>
  <si>
    <t xml:space="preserve">Đánh giá an toàn ứng dụng web theo OWASP Top 10</t>
  </si>
  <si>
    <t xml:space="preserve">TG011</t>
  </si>
  <si>
    <t xml:space="preserve">Lê Văn Khánh</t>
  </si>
  <si>
    <t xml:space="preserve">Mã hóa đồng cấu và bảo vệ dữ liệu y tế</t>
  </si>
  <si>
    <t xml:space="preserve">TG012</t>
  </si>
  <si>
    <t xml:space="preserve">Phạm Gia Linh</t>
  </si>
  <si>
    <t xml:space="preserve">Phòng chống lừa đảo trực tuyến qua tin nhắn SMS</t>
  </si>
  <si>
    <t xml:space="preserve">TG013</t>
  </si>
  <si>
    <t xml:space="preserve">Hoàng Minh Quân</t>
  </si>
  <si>
    <t xml:space="preserve">Xác thực đa yếu tố cho cổng thông tin sinh viên</t>
  </si>
  <si>
    <t xml:space="preserve">TG014</t>
  </si>
  <si>
    <t xml:space="preserve">Vũ Thị Ngân</t>
  </si>
  <si>
    <t xml:space="preserve">Viễn thông</t>
  </si>
  <si>
    <t xml:space="preserve">Tối ưu vùng phủ sóng 5G trong khuôn viên trường</t>
  </si>
  <si>
    <t xml:space="preserve">TG015</t>
  </si>
  <si>
    <t xml:space="preserve">Đặng Quang Huy</t>
  </si>
  <si>
    <t xml:space="preserve">Thiết kế mạng cảm biến không dây cho nông nghiệp thông minh</t>
  </si>
  <si>
    <t xml:space="preserve">TG016</t>
  </si>
  <si>
    <t xml:space="preserve">Bùi Thị Oanh</t>
  </si>
  <si>
    <t xml:space="preserve">Phân tích hiệu năng truyền dẫn quang tốc độ cao</t>
  </si>
  <si>
    <t xml:space="preserve">TG017</t>
  </si>
  <si>
    <t xml:space="preserve">Ngô Văn Sơn</t>
  </si>
  <si>
    <t xml:space="preserve">Định tuyến tiết kiệm năng lượng trong mạng IoT</t>
  </si>
  <si>
    <t xml:space="preserve">TG018</t>
  </si>
  <si>
    <t xml:space="preserve">Đỗ Hoàng Nam</t>
  </si>
  <si>
    <t xml:space="preserve">Điện tử</t>
  </si>
  <si>
    <t xml:space="preserve">Thiết kế mạch thu thập năng lượng cho cảm biến công suất thấp</t>
  </si>
  <si>
    <t xml:space="preserve">TG019</t>
  </si>
  <si>
    <t xml:space="preserve">Phan Thị Lan</t>
  </si>
  <si>
    <t xml:space="preserve">Hệ thống giám sát chất lượng không khí dùng vi điều khiển</t>
  </si>
  <si>
    <t xml:space="preserve">TG020</t>
  </si>
  <si>
    <t xml:space="preserve">Lương Văn Thắng</t>
  </si>
  <si>
    <t xml:space="preserve">Xe tự hành mô hình nhỏ dùng xử lý ảnh thời gian thực</t>
  </si>
  <si>
    <t xml:space="preserve">TG021</t>
  </si>
  <si>
    <t xml:space="preserve">Trịnh Thùy Dương</t>
  </si>
  <si>
    <t xml:space="preserve">Đa phương tiện</t>
  </si>
  <si>
    <t xml:space="preserve">Dựng phim tương tác 360 độ giới thiệu khuôn viên trường</t>
  </si>
  <si>
    <t xml:space="preserve">TG022</t>
  </si>
  <si>
    <t xml:space="preserve">Mai Xuân Bách</t>
  </si>
  <si>
    <t xml:space="preserve">Thiết kế trải nghiệm người dùng cho ứng dụng thư viện</t>
  </si>
  <si>
    <t xml:space="preserve">TG023</t>
  </si>
  <si>
    <t xml:space="preserve">Chu Thị Yến</t>
  </si>
  <si>
    <t xml:space="preserve">Tạo nhân vật hoạt hình 3D bằng công cụ mã nguồn mở</t>
  </si>
  <si>
    <t xml:space="preserve">TG024</t>
  </si>
  <si>
    <t xml:space="preserve">Tạ Quốc Việt</t>
  </si>
  <si>
    <t xml:space="preserve">QTKD</t>
  </si>
  <si>
    <t xml:space="preserve">Chuyển đổi số trong quản trị doanh nghiệp vừa và nhỏ</t>
  </si>
  <si>
    <t xml:space="preserve">TG025</t>
  </si>
  <si>
    <t xml:space="preserve">Lý Bảo Ngọc</t>
  </si>
  <si>
    <t xml:space="preserve">Phân tích hành vi mua sắm trực tuyến của sinh viên</t>
  </si>
  <si>
    <t xml:space="preserve">TG026</t>
  </si>
  <si>
    <t xml:space="preserve">TS. Nguyễn Thế Anh</t>
  </si>
  <si>
    <t xml:space="preserve">Khách mời</t>
  </si>
  <si>
    <t xml:space="preserve">Xu hướng AI tạo sinh trong giáo dục đại học</t>
  </si>
  <si>
    <t xml:space="preserve">Mời ngoài</t>
  </si>
  <si>
    <t xml:space="preserve">TG027</t>
  </si>
  <si>
    <t xml:space="preserve">ThS. Trần Hồng Vân</t>
  </si>
  <si>
    <t xml:space="preserve">Khởi nghiệp công nghệ từ phòng thí nghiệm trường đại học</t>
  </si>
  <si>
    <t xml:space="preserve">TG028</t>
  </si>
  <si>
    <t xml:space="preserve">PGS.TS. Lê Văn Hòa</t>
  </si>
  <si>
    <t xml:space="preserve">An ninh mạng quốc gia và vai trò của nguồn nhân lực trẻ</t>
  </si>
  <si>
    <t xml:space="preserve">TG029</t>
  </si>
  <si>
    <t xml:space="preserve">Kỹ sư Phạm Đình Khoa</t>
  </si>
  <si>
    <t xml:space="preserve">Kinh nghiệm triển khai hạ tầng 5G thương mại</t>
  </si>
  <si>
    <t xml:space="preserve">TG030</t>
  </si>
  <si>
    <t xml:space="preserve">ThS. Đinh Thu Trang</t>
  </si>
  <si>
    <t xml:space="preserve">Đạo đức nghiên cứu và liêm chính học thuật</t>
  </si>
  <si>
    <t xml:space="preserve">Tổng số báo cáo (theo bộ lọc hiện tại)</t>
  </si>
  <si>
    <t xml:space="preserve">Tổng thù lao, VNĐ (theo bộ lọc hiện tại)</t>
  </si>
  <si>
    <t xml:space="preserve">Số báo cáo chưa xếp phòng (toàn bảng)</t>
  </si>
  <si>
    <t xml:space="preserve">Khoa (nguồn cho biểu đồ)</t>
  </si>
  <si>
    <t xml:space="preserve">Số báo cáo</t>
  </si>
  <si>
    <t xml:space="preserve">Ghi chú: toàn bộ dữ liệu là dữ liệu mẫu do người làm bài tự bổ sung (đề không cho sẵn). Chữ xanh ở DanhMucPhong là dữ liệu nhập; cột Phòng, Thù lao là công thức VLOOKUP (khóa = Mã TG). 5 báo cáo viên mời ngoài (TG026–TG030) cố tình KHÔNG có trong DanhMucPhong để minh họa Edge Case 2: IFERROR hiển thị 'Chưa xếp phòng' và thù lao 0 thay vì báo lỗi không tìm thấy. Dòng tổng nằm ngoài bảng, dùng SUBTOTAL nên thay đổi theo AutoFilter.</t>
  </si>
  <si>
    <t xml:space="preserve">P.A101</t>
  </si>
  <si>
    <t xml:space="preserve">P.A102</t>
  </si>
  <si>
    <t xml:space="preserve">P.B201</t>
  </si>
  <si>
    <t xml:space="preserve">P.B202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</si>
</sst>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6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2" t="str">
        <f aca="false">IFERROR(VLOOKUP($A2,DanhMucPhong!$A:$C,2,FALSE()),"Chưa xếp phòng")</f>
        <v>P.A101</v>
      </c>
      <c r="F2" s="4" t="n">
        <f aca="false">IFERROR(VLOOKUP($A2,DanhMucPhong!$A:$C,3,FALSE()),0)</f>
        <v>1000000</v>
      </c>
      <c r="G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9</v>
      </c>
      <c r="D3" s="3" t="s">
        <v>14</v>
      </c>
      <c r="E3" s="2" t="str">
        <f aca="false">IFERROR(VLOOKUP($A3,DanhMucPhong!$A:$C,2,FALSE()),"Chưa xếp phòng")</f>
        <v>P.A102</v>
      </c>
      <c r="F3" s="4" t="n">
        <f aca="false">IFERROR(VLOOKUP($A3,DanhMucPhong!$A:$C,3,FALSE()),0)</f>
        <v>800000</v>
      </c>
      <c r="G3" s="2" t="s">
        <v>11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9</v>
      </c>
      <c r="D4" s="3" t="s">
        <v>17</v>
      </c>
      <c r="E4" s="2" t="str">
        <f aca="false">IFERROR(VLOOKUP($A4,DanhMucPhong!$A:$C,2,FALSE()),"Chưa xếp phòng")</f>
        <v>P.B201</v>
      </c>
      <c r="F4" s="4" t="n">
        <f aca="false">IFERROR(VLOOKUP($A4,DanhMucPhong!$A:$C,3,FALSE()),0)</f>
        <v>800000</v>
      </c>
      <c r="G4" s="2" t="s">
        <v>11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9</v>
      </c>
      <c r="D5" s="3" t="s">
        <v>20</v>
      </c>
      <c r="E5" s="2" t="str">
        <f aca="false">IFERROR(VLOOKUP($A5,DanhMucPhong!$A:$C,2,FALSE()),"Chưa xếp phòng")</f>
        <v>P.B202</v>
      </c>
      <c r="F5" s="4" t="n">
        <f aca="false">IFERROR(VLOOKUP($A5,DanhMucPhong!$A:$C,3,FALSE()),0)</f>
        <v>800000</v>
      </c>
      <c r="G5" s="2" t="s">
        <v>11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9</v>
      </c>
      <c r="D6" s="3" t="s">
        <v>23</v>
      </c>
      <c r="E6" s="2" t="str">
        <f aca="false">IFERROR(VLOOKUP($A6,DanhMucPhong!$A:$C,2,FALSE()),"Chưa xếp phòng")</f>
        <v>P.A101</v>
      </c>
      <c r="F6" s="4" t="n">
        <f aca="false">IFERROR(VLOOKUP($A6,DanhMucPhong!$A:$C,3,FALSE()),0)</f>
        <v>500000</v>
      </c>
      <c r="G6" s="2" t="s">
        <v>11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9</v>
      </c>
      <c r="D7" s="3" t="s">
        <v>26</v>
      </c>
      <c r="E7" s="2" t="str">
        <f aca="false">IFERROR(VLOOKUP($A7,DanhMucPhong!$A:$C,2,FALSE()),"Chưa xếp phòng")</f>
        <v>P.A102</v>
      </c>
      <c r="F7" s="4" t="n">
        <f aca="false">IFERROR(VLOOKUP($A7,DanhMucPhong!$A:$C,3,FALSE()),0)</f>
        <v>500000</v>
      </c>
      <c r="G7" s="2" t="s">
        <v>11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9</v>
      </c>
      <c r="D8" s="3" t="s">
        <v>29</v>
      </c>
      <c r="E8" s="2" t="str">
        <f aca="false">IFERROR(VLOOKUP($A8,DanhMucPhong!$A:$C,2,FALSE()),"Chưa xếp phòng")</f>
        <v>P.B201</v>
      </c>
      <c r="F8" s="4" t="n">
        <f aca="false">IFERROR(VLOOKUP($A8,DanhMucPhong!$A:$C,3,FALSE()),0)</f>
        <v>500000</v>
      </c>
      <c r="G8" s="2" t="s">
        <v>11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9</v>
      </c>
      <c r="D9" s="3" t="s">
        <v>32</v>
      </c>
      <c r="E9" s="2" t="str">
        <f aca="false">IFERROR(VLOOKUP($A9,DanhMucPhong!$A:$C,2,FALSE()),"Chưa xếp phòng")</f>
        <v>P.B202</v>
      </c>
      <c r="F9" s="4" t="n">
        <f aca="false">IFERROR(VLOOKUP($A9,DanhMucPhong!$A:$C,3,FALSE()),0)</f>
        <v>500000</v>
      </c>
      <c r="G9" s="2" t="s">
        <v>11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2" t="s">
        <v>35</v>
      </c>
      <c r="D10" s="3" t="s">
        <v>36</v>
      </c>
      <c r="E10" s="2" t="str">
        <f aca="false">IFERROR(VLOOKUP($A10,DanhMucPhong!$A:$C,2,FALSE()),"Chưa xếp phòng")</f>
        <v>P.A101</v>
      </c>
      <c r="F10" s="4" t="n">
        <f aca="false">IFERROR(VLOOKUP($A10,DanhMucPhong!$A:$C,3,FALSE()),0)</f>
        <v>500000</v>
      </c>
      <c r="G10" s="2" t="s">
        <v>11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2" t="s">
        <v>35</v>
      </c>
      <c r="D11" s="3" t="s">
        <v>39</v>
      </c>
      <c r="E11" s="2" t="str">
        <f aca="false">IFERROR(VLOOKUP($A11,DanhMucPhong!$A:$C,2,FALSE()),"Chưa xếp phòng")</f>
        <v>P.A102</v>
      </c>
      <c r="F11" s="4" t="n">
        <f aca="false">IFERROR(VLOOKUP($A11,DanhMucPhong!$A:$C,3,FALSE()),0)</f>
        <v>500000</v>
      </c>
      <c r="G11" s="2" t="s">
        <v>11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35</v>
      </c>
      <c r="D12" s="3" t="s">
        <v>42</v>
      </c>
      <c r="E12" s="2" t="str">
        <f aca="false">IFERROR(VLOOKUP($A12,DanhMucPhong!$A:$C,2,FALSE()),"Chưa xếp phòng")</f>
        <v>P.B201</v>
      </c>
      <c r="F12" s="4" t="n">
        <f aca="false">IFERROR(VLOOKUP($A12,DanhMucPhong!$A:$C,3,FALSE()),0)</f>
        <v>500000</v>
      </c>
      <c r="G12" s="2" t="s">
        <v>11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35</v>
      </c>
      <c r="D13" s="3" t="s">
        <v>45</v>
      </c>
      <c r="E13" s="2" t="str">
        <f aca="false">IFERROR(VLOOKUP($A13,DanhMucPhong!$A:$C,2,FALSE()),"Chưa xếp phòng")</f>
        <v>P.B202</v>
      </c>
      <c r="F13" s="4" t="n">
        <f aca="false">IFERROR(VLOOKUP($A13,DanhMucPhong!$A:$C,3,FALSE()),0)</f>
        <v>500000</v>
      </c>
      <c r="G13" s="2" t="s">
        <v>11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2" t="s">
        <v>35</v>
      </c>
      <c r="D14" s="3" t="s">
        <v>48</v>
      </c>
      <c r="E14" s="2" t="str">
        <f aca="false">IFERROR(VLOOKUP($A14,DanhMucPhong!$A:$C,2,FALSE()),"Chưa xếp phòng")</f>
        <v>P.A101</v>
      </c>
      <c r="F14" s="4" t="n">
        <f aca="false">IFERROR(VLOOKUP($A14,DanhMucPhong!$A:$C,3,FALSE()),0)</f>
        <v>500000</v>
      </c>
      <c r="G14" s="2" t="s">
        <v>11</v>
      </c>
    </row>
    <row r="15" customFormat="false" ht="15" hidden="false" customHeight="false" outlineLevel="0" collapsed="false">
      <c r="A15" s="2" t="s">
        <v>49</v>
      </c>
      <c r="B15" s="2" t="s">
        <v>50</v>
      </c>
      <c r="C15" s="2" t="s">
        <v>51</v>
      </c>
      <c r="D15" s="3" t="s">
        <v>52</v>
      </c>
      <c r="E15" s="2" t="str">
        <f aca="false">IFERROR(VLOOKUP($A15,DanhMucPhong!$A:$C,2,FALSE()),"Chưa xếp phòng")</f>
        <v>P.A102</v>
      </c>
      <c r="F15" s="4" t="n">
        <f aca="false">IFERROR(VLOOKUP($A15,DanhMucPhong!$A:$C,3,FALSE()),0)</f>
        <v>500000</v>
      </c>
      <c r="G15" s="2" t="s">
        <v>11</v>
      </c>
    </row>
    <row r="16" customFormat="false" ht="15" hidden="false" customHeight="false" outlineLevel="0" collapsed="false">
      <c r="A16" s="2" t="s">
        <v>53</v>
      </c>
      <c r="B16" s="2" t="s">
        <v>54</v>
      </c>
      <c r="C16" s="2" t="s">
        <v>51</v>
      </c>
      <c r="D16" s="3" t="s">
        <v>55</v>
      </c>
      <c r="E16" s="2" t="str">
        <f aca="false">IFERROR(VLOOKUP($A16,DanhMucPhong!$A:$C,2,FALSE()),"Chưa xếp phòng")</f>
        <v>P.B201</v>
      </c>
      <c r="F16" s="4" t="n">
        <f aca="false">IFERROR(VLOOKUP($A16,DanhMucPhong!$A:$C,3,FALSE()),0)</f>
        <v>500000</v>
      </c>
      <c r="G16" s="2" t="s">
        <v>11</v>
      </c>
    </row>
    <row r="17" customFormat="false" ht="15" hidden="false" customHeight="false" outlineLevel="0" collapsed="false">
      <c r="A17" s="2" t="s">
        <v>56</v>
      </c>
      <c r="B17" s="2" t="s">
        <v>57</v>
      </c>
      <c r="C17" s="2" t="s">
        <v>51</v>
      </c>
      <c r="D17" s="3" t="s">
        <v>58</v>
      </c>
      <c r="E17" s="2" t="str">
        <f aca="false">IFERROR(VLOOKUP($A17,DanhMucPhong!$A:$C,2,FALSE()),"Chưa xếp phòng")</f>
        <v>P.B202</v>
      </c>
      <c r="F17" s="4" t="n">
        <f aca="false">IFERROR(VLOOKUP($A17,DanhMucPhong!$A:$C,3,FALSE()),0)</f>
        <v>500000</v>
      </c>
      <c r="G17" s="2" t="s">
        <v>11</v>
      </c>
    </row>
    <row r="18" customFormat="false" ht="15" hidden="false" customHeight="false" outlineLevel="0" collapsed="false">
      <c r="A18" s="2" t="s">
        <v>59</v>
      </c>
      <c r="B18" s="2" t="s">
        <v>60</v>
      </c>
      <c r="C18" s="2" t="s">
        <v>51</v>
      </c>
      <c r="D18" s="3" t="s">
        <v>61</v>
      </c>
      <c r="E18" s="2" t="str">
        <f aca="false">IFERROR(VLOOKUP($A18,DanhMucPhong!$A:$C,2,FALSE()),"Chưa xếp phòng")</f>
        <v>P.A101</v>
      </c>
      <c r="F18" s="4" t="n">
        <f aca="false">IFERROR(VLOOKUP($A18,DanhMucPhong!$A:$C,3,FALSE()),0)</f>
        <v>500000</v>
      </c>
      <c r="G18" s="2" t="s">
        <v>11</v>
      </c>
    </row>
    <row r="19" customFormat="false" ht="15" hidden="false" customHeight="false" outlineLevel="0" collapsed="false">
      <c r="A19" s="2" t="s">
        <v>62</v>
      </c>
      <c r="B19" s="2" t="s">
        <v>63</v>
      </c>
      <c r="C19" s="2" t="s">
        <v>64</v>
      </c>
      <c r="D19" s="3" t="s">
        <v>65</v>
      </c>
      <c r="E19" s="2" t="str">
        <f aca="false">IFERROR(VLOOKUP($A19,DanhMucPhong!$A:$C,2,FALSE()),"Chưa xếp phòng")</f>
        <v>P.A102</v>
      </c>
      <c r="F19" s="4" t="n">
        <f aca="false">IFERROR(VLOOKUP($A19,DanhMucPhong!$A:$C,3,FALSE()),0)</f>
        <v>500000</v>
      </c>
      <c r="G19" s="2" t="s">
        <v>11</v>
      </c>
    </row>
    <row r="20" customFormat="false" ht="15" hidden="false" customHeight="false" outlineLevel="0" collapsed="false">
      <c r="A20" s="2" t="s">
        <v>66</v>
      </c>
      <c r="B20" s="2" t="s">
        <v>67</v>
      </c>
      <c r="C20" s="2" t="s">
        <v>64</v>
      </c>
      <c r="D20" s="3" t="s">
        <v>68</v>
      </c>
      <c r="E20" s="2" t="str">
        <f aca="false">IFERROR(VLOOKUP($A20,DanhMucPhong!$A:$C,2,FALSE()),"Chưa xếp phòng")</f>
        <v>P.B201</v>
      </c>
      <c r="F20" s="4" t="n">
        <f aca="false">IFERROR(VLOOKUP($A20,DanhMucPhong!$A:$C,3,FALSE()),0)</f>
        <v>500000</v>
      </c>
      <c r="G20" s="2" t="s">
        <v>11</v>
      </c>
    </row>
    <row r="21" customFormat="false" ht="15" hidden="false" customHeight="false" outlineLevel="0" collapsed="false">
      <c r="A21" s="2" t="s">
        <v>69</v>
      </c>
      <c r="B21" s="2" t="s">
        <v>70</v>
      </c>
      <c r="C21" s="2" t="s">
        <v>64</v>
      </c>
      <c r="D21" s="3" t="s">
        <v>71</v>
      </c>
      <c r="E21" s="2" t="str">
        <f aca="false">IFERROR(VLOOKUP($A21,DanhMucPhong!$A:$C,2,FALSE()),"Chưa xếp phòng")</f>
        <v>P.B202</v>
      </c>
      <c r="F21" s="4" t="n">
        <f aca="false">IFERROR(VLOOKUP($A21,DanhMucPhong!$A:$C,3,FALSE()),0)</f>
        <v>500000</v>
      </c>
      <c r="G21" s="2" t="s">
        <v>11</v>
      </c>
    </row>
    <row r="22" customFormat="false" ht="15" hidden="false" customHeight="false" outlineLevel="0" collapsed="false">
      <c r="A22" s="2" t="s">
        <v>72</v>
      </c>
      <c r="B22" s="2" t="s">
        <v>73</v>
      </c>
      <c r="C22" s="2" t="s">
        <v>74</v>
      </c>
      <c r="D22" s="3" t="s">
        <v>75</v>
      </c>
      <c r="E22" s="2" t="str">
        <f aca="false">IFERROR(VLOOKUP($A22,DanhMucPhong!$A:$C,2,FALSE()),"Chưa xếp phòng")</f>
        <v>P.A101</v>
      </c>
      <c r="F22" s="4" t="n">
        <f aca="false">IFERROR(VLOOKUP($A22,DanhMucPhong!$A:$C,3,FALSE()),0)</f>
        <v>500000</v>
      </c>
      <c r="G22" s="2" t="s">
        <v>11</v>
      </c>
    </row>
    <row r="23" customFormat="false" ht="15" hidden="false" customHeight="false" outlineLevel="0" collapsed="false">
      <c r="A23" s="2" t="s">
        <v>76</v>
      </c>
      <c r="B23" s="2" t="s">
        <v>77</v>
      </c>
      <c r="C23" s="2" t="s">
        <v>74</v>
      </c>
      <c r="D23" s="3" t="s">
        <v>78</v>
      </c>
      <c r="E23" s="2" t="str">
        <f aca="false">IFERROR(VLOOKUP($A23,DanhMucPhong!$A:$C,2,FALSE()),"Chưa xếp phòng")</f>
        <v>P.A102</v>
      </c>
      <c r="F23" s="4" t="n">
        <f aca="false">IFERROR(VLOOKUP($A23,DanhMucPhong!$A:$C,3,FALSE()),0)</f>
        <v>500000</v>
      </c>
      <c r="G23" s="2" t="s">
        <v>11</v>
      </c>
    </row>
    <row r="24" customFormat="false" ht="15" hidden="false" customHeight="false" outlineLevel="0" collapsed="false">
      <c r="A24" s="2" t="s">
        <v>79</v>
      </c>
      <c r="B24" s="2" t="s">
        <v>80</v>
      </c>
      <c r="C24" s="2" t="s">
        <v>74</v>
      </c>
      <c r="D24" s="3" t="s">
        <v>81</v>
      </c>
      <c r="E24" s="2" t="str">
        <f aca="false">IFERROR(VLOOKUP($A24,DanhMucPhong!$A:$C,2,FALSE()),"Chưa xếp phòng")</f>
        <v>P.B201</v>
      </c>
      <c r="F24" s="4" t="n">
        <f aca="false">IFERROR(VLOOKUP($A24,DanhMucPhong!$A:$C,3,FALSE()),0)</f>
        <v>500000</v>
      </c>
      <c r="G24" s="2" t="s">
        <v>11</v>
      </c>
    </row>
    <row r="25" customFormat="false" ht="15" hidden="false" customHeight="false" outlineLevel="0" collapsed="false">
      <c r="A25" s="2" t="s">
        <v>82</v>
      </c>
      <c r="B25" s="2" t="s">
        <v>83</v>
      </c>
      <c r="C25" s="2" t="s">
        <v>84</v>
      </c>
      <c r="D25" s="3" t="s">
        <v>85</v>
      </c>
      <c r="E25" s="2" t="str">
        <f aca="false">IFERROR(VLOOKUP($A25,DanhMucPhong!$A:$C,2,FALSE()),"Chưa xếp phòng")</f>
        <v>P.B202</v>
      </c>
      <c r="F25" s="4" t="n">
        <f aca="false">IFERROR(VLOOKUP($A25,DanhMucPhong!$A:$C,3,FALSE()),0)</f>
        <v>500000</v>
      </c>
      <c r="G25" s="2" t="s">
        <v>11</v>
      </c>
    </row>
    <row r="26" customFormat="false" ht="15" hidden="false" customHeight="false" outlineLevel="0" collapsed="false">
      <c r="A26" s="2" t="s">
        <v>86</v>
      </c>
      <c r="B26" s="2" t="s">
        <v>87</v>
      </c>
      <c r="C26" s="2" t="s">
        <v>84</v>
      </c>
      <c r="D26" s="3" t="s">
        <v>88</v>
      </c>
      <c r="E26" s="2" t="str">
        <f aca="false">IFERROR(VLOOKUP($A26,DanhMucPhong!$A:$C,2,FALSE()),"Chưa xếp phòng")</f>
        <v>P.A101</v>
      </c>
      <c r="F26" s="4" t="n">
        <f aca="false">IFERROR(VLOOKUP($A26,DanhMucPhong!$A:$C,3,FALSE()),0)</f>
        <v>500000</v>
      </c>
      <c r="G26" s="2" t="s">
        <v>11</v>
      </c>
    </row>
    <row r="27" customFormat="false" ht="15" hidden="false" customHeight="false" outlineLevel="0" collapsed="false">
      <c r="A27" s="2" t="s">
        <v>89</v>
      </c>
      <c r="B27" s="2" t="s">
        <v>90</v>
      </c>
      <c r="C27" s="2" t="s">
        <v>91</v>
      </c>
      <c r="D27" s="3" t="s">
        <v>92</v>
      </c>
      <c r="E27" s="2" t="str">
        <f aca="false">IFERROR(VLOOKUP($A27,DanhMucPhong!$A:$C,2,FALSE()),"Chưa xếp phòng")</f>
        <v>Chưa xếp phòng</v>
      </c>
      <c r="F27" s="4" t="n">
        <f aca="false">IFERROR(VLOOKUP($A27,DanhMucPhong!$A:$C,3,FALSE()),0)</f>
        <v>0</v>
      </c>
      <c r="G27" s="2" t="s">
        <v>93</v>
      </c>
    </row>
    <row r="28" customFormat="false" ht="15" hidden="false" customHeight="false" outlineLevel="0" collapsed="false">
      <c r="A28" s="2" t="s">
        <v>94</v>
      </c>
      <c r="B28" s="2" t="s">
        <v>95</v>
      </c>
      <c r="C28" s="2" t="s">
        <v>91</v>
      </c>
      <c r="D28" s="3" t="s">
        <v>96</v>
      </c>
      <c r="E28" s="2" t="str">
        <f aca="false">IFERROR(VLOOKUP($A28,DanhMucPhong!$A:$C,2,FALSE()),"Chưa xếp phòng")</f>
        <v>Chưa xếp phòng</v>
      </c>
      <c r="F28" s="4" t="n">
        <f aca="false">IFERROR(VLOOKUP($A28,DanhMucPhong!$A:$C,3,FALSE()),0)</f>
        <v>0</v>
      </c>
      <c r="G28" s="2" t="s">
        <v>93</v>
      </c>
    </row>
    <row r="29" customFormat="false" ht="15" hidden="false" customHeight="false" outlineLevel="0" collapsed="false">
      <c r="A29" s="2" t="s">
        <v>97</v>
      </c>
      <c r="B29" s="2" t="s">
        <v>98</v>
      </c>
      <c r="C29" s="2" t="s">
        <v>91</v>
      </c>
      <c r="D29" s="3" t="s">
        <v>99</v>
      </c>
      <c r="E29" s="2" t="str">
        <f aca="false">IFERROR(VLOOKUP($A29,DanhMucPhong!$A:$C,2,FALSE()),"Chưa xếp phòng")</f>
        <v>Chưa xếp phòng</v>
      </c>
      <c r="F29" s="4" t="n">
        <f aca="false">IFERROR(VLOOKUP($A29,DanhMucPhong!$A:$C,3,FALSE()),0)</f>
        <v>0</v>
      </c>
      <c r="G29" s="2" t="s">
        <v>93</v>
      </c>
    </row>
    <row r="30" customFormat="false" ht="15" hidden="false" customHeight="false" outlineLevel="0" collapsed="false">
      <c r="A30" s="2" t="s">
        <v>100</v>
      </c>
      <c r="B30" s="2" t="s">
        <v>101</v>
      </c>
      <c r="C30" s="2" t="s">
        <v>91</v>
      </c>
      <c r="D30" s="3" t="s">
        <v>102</v>
      </c>
      <c r="E30" s="2" t="str">
        <f aca="false">IFERROR(VLOOKUP($A30,DanhMucPhong!$A:$C,2,FALSE()),"Chưa xếp phòng")</f>
        <v>Chưa xếp phòng</v>
      </c>
      <c r="F30" s="4" t="n">
        <f aca="false">IFERROR(VLOOKUP($A30,DanhMucPhong!$A:$C,3,FALSE()),0)</f>
        <v>0</v>
      </c>
      <c r="G30" s="2" t="s">
        <v>93</v>
      </c>
    </row>
    <row r="31" customFormat="false" ht="15" hidden="false" customHeight="false" outlineLevel="0" collapsed="false">
      <c r="A31" s="2" t="s">
        <v>103</v>
      </c>
      <c r="B31" s="2" t="s">
        <v>104</v>
      </c>
      <c r="C31" s="2" t="s">
        <v>91</v>
      </c>
      <c r="D31" s="3" t="s">
        <v>105</v>
      </c>
      <c r="E31" s="2" t="str">
        <f aca="false">IFERROR(VLOOKUP($A31,DanhMucPhong!$A:$C,2,FALSE()),"Chưa xếp phòng")</f>
        <v>Chưa xếp phòng</v>
      </c>
      <c r="F31" s="4" t="n">
        <f aca="false">IFERROR(VLOOKUP($A31,DanhMucPhong!$A:$C,3,FALSE()),0)</f>
        <v>0</v>
      </c>
      <c r="G31" s="2" t="s">
        <v>93</v>
      </c>
    </row>
    <row r="34" customFormat="false" ht="15" hidden="false" customHeight="false" outlineLevel="0" collapsed="false">
      <c r="D34" s="5" t="s">
        <v>106</v>
      </c>
      <c r="E34" s="6" t="n">
        <f aca="false">SUBTOTAL(103,A2:A31)</f>
        <v>30</v>
      </c>
    </row>
    <row r="35" customFormat="false" ht="15" hidden="false" customHeight="false" outlineLevel="0" collapsed="false">
      <c r="D35" s="5" t="s">
        <v>107</v>
      </c>
      <c r="E35" s="7" t="n">
        <f aca="false">SUBTOTAL(109,F2:F31)</f>
        <v>13900000</v>
      </c>
    </row>
    <row r="36" customFormat="false" ht="15" hidden="false" customHeight="false" outlineLevel="0" collapsed="false">
      <c r="D36" s="5" t="s">
        <v>108</v>
      </c>
      <c r="E36" s="6" t="n">
        <f aca="false">COUNTIF(E2:E31,"Chưa xếp phòng")</f>
        <v>5</v>
      </c>
    </row>
    <row r="38" customFormat="false" ht="15" hidden="false" customHeight="false" outlineLevel="0" collapsed="false">
      <c r="D38" s="8" t="s">
        <v>109</v>
      </c>
      <c r="E38" s="8" t="s">
        <v>110</v>
      </c>
    </row>
    <row r="39" customFormat="false" ht="15" hidden="false" customHeight="false" outlineLevel="0" collapsed="false">
      <c r="D39" s="6" t="s">
        <v>9</v>
      </c>
      <c r="E39" s="6" t="n">
        <f aca="false">COUNTIF($C$2:$C$31,D39)</f>
        <v>8</v>
      </c>
    </row>
    <row r="40" customFormat="false" ht="15" hidden="false" customHeight="false" outlineLevel="0" collapsed="false">
      <c r="D40" s="6" t="s">
        <v>35</v>
      </c>
      <c r="E40" s="6" t="n">
        <f aca="false">COUNTIF($C$2:$C$31,D40)</f>
        <v>5</v>
      </c>
    </row>
    <row r="41" customFormat="false" ht="15" hidden="false" customHeight="false" outlineLevel="0" collapsed="false">
      <c r="D41" s="6" t="s">
        <v>51</v>
      </c>
      <c r="E41" s="6" t="n">
        <f aca="false">COUNTIF($C$2:$C$31,D41)</f>
        <v>4</v>
      </c>
    </row>
    <row r="42" customFormat="false" ht="15" hidden="false" customHeight="false" outlineLevel="0" collapsed="false">
      <c r="D42" s="6" t="s">
        <v>64</v>
      </c>
      <c r="E42" s="6" t="n">
        <f aca="false">COUNTIF($C$2:$C$31,D42)</f>
        <v>3</v>
      </c>
    </row>
    <row r="43" customFormat="false" ht="15" hidden="false" customHeight="false" outlineLevel="0" collapsed="false">
      <c r="D43" s="6" t="s">
        <v>74</v>
      </c>
      <c r="E43" s="6" t="n">
        <f aca="false">COUNTIF($C$2:$C$31,D43)</f>
        <v>3</v>
      </c>
    </row>
    <row r="44" customFormat="false" ht="15" hidden="false" customHeight="false" outlineLevel="0" collapsed="false">
      <c r="D44" s="6" t="s">
        <v>84</v>
      </c>
      <c r="E44" s="6" t="n">
        <f aca="false">COUNTIF($C$2:$C$31,D44)</f>
        <v>2</v>
      </c>
    </row>
    <row r="45" customFormat="false" ht="15" hidden="false" customHeight="false" outlineLevel="0" collapsed="false">
      <c r="D45" s="6" t="s">
        <v>91</v>
      </c>
      <c r="E45" s="6" t="n">
        <f aca="false">COUNTIF($C$2:$C$31,D45)</f>
        <v>5</v>
      </c>
    </row>
    <row r="47" customFormat="false" ht="15" hidden="false" customHeight="false" outlineLevel="0" collapsed="false">
      <c r="A47" s="9" t="s">
        <v>111</v>
      </c>
    </row>
  </sheetData>
  <autoFilter ref="A1:G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0" t="s">
        <v>0</v>
      </c>
      <c r="B1" s="10" t="s">
        <v>4</v>
      </c>
      <c r="C1" s="10" t="s">
        <v>5</v>
      </c>
    </row>
    <row r="2" customFormat="false" ht="15" hidden="false" customHeight="false" outlineLevel="0" collapsed="false">
      <c r="A2" s="11" t="s">
        <v>7</v>
      </c>
      <c r="B2" s="12" t="s">
        <v>112</v>
      </c>
      <c r="C2" s="13" t="n">
        <v>1000000</v>
      </c>
    </row>
    <row r="3" customFormat="false" ht="15" hidden="false" customHeight="false" outlineLevel="0" collapsed="false">
      <c r="A3" s="11" t="s">
        <v>12</v>
      </c>
      <c r="B3" s="12" t="s">
        <v>113</v>
      </c>
      <c r="C3" s="13" t="n">
        <v>800000</v>
      </c>
    </row>
    <row r="4" customFormat="false" ht="15" hidden="false" customHeight="false" outlineLevel="0" collapsed="false">
      <c r="A4" s="11" t="s">
        <v>15</v>
      </c>
      <c r="B4" s="12" t="s">
        <v>114</v>
      </c>
      <c r="C4" s="13" t="n">
        <v>800000</v>
      </c>
    </row>
    <row r="5" customFormat="false" ht="15" hidden="false" customHeight="false" outlineLevel="0" collapsed="false">
      <c r="A5" s="11" t="s">
        <v>18</v>
      </c>
      <c r="B5" s="12" t="s">
        <v>115</v>
      </c>
      <c r="C5" s="13" t="n">
        <v>800000</v>
      </c>
    </row>
    <row r="6" customFormat="false" ht="15" hidden="false" customHeight="false" outlineLevel="0" collapsed="false">
      <c r="A6" s="11" t="s">
        <v>21</v>
      </c>
      <c r="B6" s="12" t="s">
        <v>112</v>
      </c>
      <c r="C6" s="13" t="n">
        <v>500000</v>
      </c>
    </row>
    <row r="7" customFormat="false" ht="15" hidden="false" customHeight="false" outlineLevel="0" collapsed="false">
      <c r="A7" s="11" t="s">
        <v>24</v>
      </c>
      <c r="B7" s="12" t="s">
        <v>113</v>
      </c>
      <c r="C7" s="13" t="n">
        <v>500000</v>
      </c>
    </row>
    <row r="8" customFormat="false" ht="15" hidden="false" customHeight="false" outlineLevel="0" collapsed="false">
      <c r="A8" s="11" t="s">
        <v>27</v>
      </c>
      <c r="B8" s="12" t="s">
        <v>114</v>
      </c>
      <c r="C8" s="13" t="n">
        <v>500000</v>
      </c>
    </row>
    <row r="9" customFormat="false" ht="15" hidden="false" customHeight="false" outlineLevel="0" collapsed="false">
      <c r="A9" s="11" t="s">
        <v>30</v>
      </c>
      <c r="B9" s="12" t="s">
        <v>115</v>
      </c>
      <c r="C9" s="13" t="n">
        <v>500000</v>
      </c>
    </row>
    <row r="10" customFormat="false" ht="15" hidden="false" customHeight="false" outlineLevel="0" collapsed="false">
      <c r="A10" s="11" t="s">
        <v>33</v>
      </c>
      <c r="B10" s="12" t="s">
        <v>112</v>
      </c>
      <c r="C10" s="13" t="n">
        <v>500000</v>
      </c>
    </row>
    <row r="11" customFormat="false" ht="15" hidden="false" customHeight="false" outlineLevel="0" collapsed="false">
      <c r="A11" s="11" t="s">
        <v>37</v>
      </c>
      <c r="B11" s="12" t="s">
        <v>113</v>
      </c>
      <c r="C11" s="13" t="n">
        <v>500000</v>
      </c>
    </row>
    <row r="12" customFormat="false" ht="15" hidden="false" customHeight="false" outlineLevel="0" collapsed="false">
      <c r="A12" s="11" t="s">
        <v>40</v>
      </c>
      <c r="B12" s="12" t="s">
        <v>114</v>
      </c>
      <c r="C12" s="13" t="n">
        <v>500000</v>
      </c>
    </row>
    <row r="13" customFormat="false" ht="15" hidden="false" customHeight="false" outlineLevel="0" collapsed="false">
      <c r="A13" s="11" t="s">
        <v>43</v>
      </c>
      <c r="B13" s="12" t="s">
        <v>115</v>
      </c>
      <c r="C13" s="13" t="n">
        <v>500000</v>
      </c>
    </row>
    <row r="14" customFormat="false" ht="15" hidden="false" customHeight="false" outlineLevel="0" collapsed="false">
      <c r="A14" s="11" t="s">
        <v>46</v>
      </c>
      <c r="B14" s="12" t="s">
        <v>112</v>
      </c>
      <c r="C14" s="13" t="n">
        <v>500000</v>
      </c>
    </row>
    <row r="15" customFormat="false" ht="15" hidden="false" customHeight="false" outlineLevel="0" collapsed="false">
      <c r="A15" s="11" t="s">
        <v>49</v>
      </c>
      <c r="B15" s="12" t="s">
        <v>113</v>
      </c>
      <c r="C15" s="13" t="n">
        <v>500000</v>
      </c>
    </row>
    <row r="16" customFormat="false" ht="15" hidden="false" customHeight="false" outlineLevel="0" collapsed="false">
      <c r="A16" s="11" t="s">
        <v>53</v>
      </c>
      <c r="B16" s="12" t="s">
        <v>114</v>
      </c>
      <c r="C16" s="13" t="n">
        <v>500000</v>
      </c>
    </row>
    <row r="17" customFormat="false" ht="15" hidden="false" customHeight="false" outlineLevel="0" collapsed="false">
      <c r="A17" s="11" t="s">
        <v>56</v>
      </c>
      <c r="B17" s="12" t="s">
        <v>115</v>
      </c>
      <c r="C17" s="13" t="n">
        <v>500000</v>
      </c>
    </row>
    <row r="18" customFormat="false" ht="15" hidden="false" customHeight="false" outlineLevel="0" collapsed="false">
      <c r="A18" s="11" t="s">
        <v>59</v>
      </c>
      <c r="B18" s="12" t="s">
        <v>112</v>
      </c>
      <c r="C18" s="13" t="n">
        <v>500000</v>
      </c>
    </row>
    <row r="19" customFormat="false" ht="15" hidden="false" customHeight="false" outlineLevel="0" collapsed="false">
      <c r="A19" s="11" t="s">
        <v>62</v>
      </c>
      <c r="B19" s="12" t="s">
        <v>113</v>
      </c>
      <c r="C19" s="13" t="n">
        <v>500000</v>
      </c>
    </row>
    <row r="20" customFormat="false" ht="15" hidden="false" customHeight="false" outlineLevel="0" collapsed="false">
      <c r="A20" s="11" t="s">
        <v>66</v>
      </c>
      <c r="B20" s="12" t="s">
        <v>114</v>
      </c>
      <c r="C20" s="13" t="n">
        <v>500000</v>
      </c>
    </row>
    <row r="21" customFormat="false" ht="15" hidden="false" customHeight="false" outlineLevel="0" collapsed="false">
      <c r="A21" s="11" t="s">
        <v>69</v>
      </c>
      <c r="B21" s="12" t="s">
        <v>115</v>
      </c>
      <c r="C21" s="13" t="n">
        <v>500000</v>
      </c>
    </row>
    <row r="22" customFormat="false" ht="15" hidden="false" customHeight="false" outlineLevel="0" collapsed="false">
      <c r="A22" s="11" t="s">
        <v>72</v>
      </c>
      <c r="B22" s="12" t="s">
        <v>112</v>
      </c>
      <c r="C22" s="13" t="n">
        <v>500000</v>
      </c>
    </row>
    <row r="23" customFormat="false" ht="15" hidden="false" customHeight="false" outlineLevel="0" collapsed="false">
      <c r="A23" s="11" t="s">
        <v>76</v>
      </c>
      <c r="B23" s="12" t="s">
        <v>113</v>
      </c>
      <c r="C23" s="13" t="n">
        <v>500000</v>
      </c>
    </row>
    <row r="24" customFormat="false" ht="15" hidden="false" customHeight="false" outlineLevel="0" collapsed="false">
      <c r="A24" s="11" t="s">
        <v>79</v>
      </c>
      <c r="B24" s="12" t="s">
        <v>114</v>
      </c>
      <c r="C24" s="13" t="n">
        <v>500000</v>
      </c>
    </row>
    <row r="25" customFormat="false" ht="15" hidden="false" customHeight="false" outlineLevel="0" collapsed="false">
      <c r="A25" s="11" t="s">
        <v>82</v>
      </c>
      <c r="B25" s="12" t="s">
        <v>115</v>
      </c>
      <c r="C25" s="13" t="n">
        <v>500000</v>
      </c>
    </row>
    <row r="26" customFormat="false" ht="15" hidden="false" customHeight="false" outlineLevel="0" collapsed="false">
      <c r="A26" s="11" t="s">
        <v>86</v>
      </c>
      <c r="B26" s="12" t="s">
        <v>112</v>
      </c>
      <c r="C26" s="13" t="n">
        <v>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2026-10-19T18:10:00Z</dcterms:created>
  <dc:creator>openpyxl</dc:creator>
  <dc:description/>
  <dc:language>en-US</dc:language>
  <cp:lastModifiedBy/>
  <dcterms:modified xsi:type="dcterms:W3CDTF">2026-10-19T18:10:00Z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